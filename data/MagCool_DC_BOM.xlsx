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sign Point" sheetId="1" state="visible" r:id="rId3"/>
    <sheet name="BOM" sheetId="2" state="visible" r:id="rId4"/>
    <sheet name="Sources &amp; 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<sst xmlns="http://schemas.openxmlformats.org/spreadsheetml/2006/main" count="133" uniqueCount="111">
  <si>
    <t xml:space="preserve">MagCool-DC — Reference Design Point</t>
  </si>
  <si>
    <t xml:space="preserve">NSGA-III "knee point" (balanced COP/Qc/cost) design, from results/design_recommendations.txt, section 5</t>
  </si>
  <si>
    <t xml:space="preserve">Parameter</t>
  </si>
  <si>
    <t xml:space="preserve">Value</t>
  </si>
  <si>
    <t xml:space="preserve">Unit</t>
  </si>
  <si>
    <t xml:space="preserve">Notes</t>
  </si>
  <si>
    <t xml:space="preserve">Peak applied field, μ₀H_max</t>
  </si>
  <si>
    <t xml:space="preserve">T</t>
  </si>
  <si>
    <t xml:space="preserve">Design variable, NSGA-III Pareto front</t>
  </si>
  <si>
    <t xml:space="preserve">Operating frequency, f</t>
  </si>
  <si>
    <t xml:space="preserve">Hz</t>
  </si>
  <si>
    <t xml:space="preserve">Design variable</t>
  </si>
  <si>
    <t xml:space="preserve">Fluid mass flow rate, mdot</t>
  </si>
  <si>
    <t xml:space="preserve">kg/s</t>
  </si>
  <si>
    <t xml:space="preserve">Regenerator (MCM) mass</t>
  </si>
  <si>
    <t xml:space="preserve">kg</t>
  </si>
  <si>
    <t xml:space="preserve">Regenerator effectiveness, ε</t>
  </si>
  <si>
    <t xml:space="preserve">-</t>
  </si>
  <si>
    <t xml:space="preserve">Particle diameter, d_p</t>
  </si>
  <si>
    <t xml:space="preserve">mm</t>
  </si>
  <si>
    <t xml:space="preserve">Packed-bed geometry, co-optimized (geometry_analysis.py)</t>
  </si>
  <si>
    <t xml:space="preserve">MCE material / family</t>
  </si>
  <si>
    <t xml:space="preserve">La(Fe,Si)13Hy (tuned, Tc=285.3 K)</t>
  </si>
  <si>
    <t xml:space="preserve">Composition-tuned giant-MCE family, core/cascade.py</t>
  </si>
  <si>
    <t xml:space="preserve">Electrical COP, COP_elec</t>
  </si>
  <si>
    <t xml:space="preserve">Model output at this design point</t>
  </si>
  <si>
    <t xml:space="preserve">Average cooling capacity, Qc</t>
  </si>
  <si>
    <t xml:space="preserve">W</t>
  </si>
  <si>
    <t xml:space="preserve">Derived quantities used to size non-materials hardware</t>
  </si>
  <si>
    <t xml:space="preserve">Cooling capacity, Qc</t>
  </si>
  <si>
    <t xml:space="preserve">kW</t>
  </si>
  <si>
    <t xml:space="preserve">Qc [W] / 1000</t>
  </si>
  <si>
    <t xml:space="preserve">Electrical input power</t>
  </si>
  <si>
    <t xml:space="preserve">Qc [kW] / COP_electrical (same basis as core/economics.py lifetime_cost())</t>
  </si>
  <si>
    <t xml:space="preserve">Exact HX duty multiplier</t>
  </si>
  <si>
    <t xml:space="preserve">2 + 1/COP_electrical, exact_hx_duty_multiplier() in core/economics.py</t>
  </si>
  <si>
    <t xml:space="preserve">Total heat-exchanger duty</t>
  </si>
  <si>
    <t xml:space="preserve">Hot-side duty = Qc + W_elec; total = cold-side + hot-side</t>
  </si>
  <si>
    <t xml:space="preserve">MagCool-DC — Bill of Materials</t>
  </si>
  <si>
    <t xml:space="preserve">Priced with this repo's own bottom-up cost model (core/economics.py: bom_cost() + bottom_up_non_materials_bom()) at the NSGA-III knee-point design point (see 'Design Point' tab). LOW/MID/HIGH = plausible cost band, not a single point estimate — see 'Sources &amp; Assumptions' tab.</t>
  </si>
  <si>
    <t xml:space="preserve">#</t>
  </si>
  <si>
    <t xml:space="preserve">Category</t>
  </si>
  <si>
    <t xml:space="preserve">Component</t>
  </si>
  <si>
    <t xml:space="preserve">Sizing / Description</t>
  </si>
  <si>
    <t xml:space="preserve">Qty</t>
  </si>
  <si>
    <t xml:space="preserve">Unit Cost
Low</t>
  </si>
  <si>
    <t xml:space="preserve">Unit Cost
Mid</t>
  </si>
  <si>
    <t xml:space="preserve">Unit Cost
High</t>
  </si>
  <si>
    <t xml:space="preserve">Ext. Cost
Low</t>
  </si>
  <si>
    <t xml:space="preserve">Ext. Cost
Mid</t>
  </si>
  <si>
    <t xml:space="preserve">Ext. Cost
High</t>
  </si>
  <si>
    <t xml:space="preserve">Source</t>
  </si>
  <si>
    <t xml:space="preserve">MATERIALS  (magnet + magnetocaloric material + soft-magnetic yoke — core/economics.py bom_cost())</t>
  </si>
  <si>
    <t xml:space="preserve">Materials</t>
  </si>
  <si>
    <t xml:space="preserve">NdFeB permanent magnet (N42, ~1.2-1.3 T remanence)</t>
  </si>
  <si>
    <t xml:space="preserve">Halbach-type magnet-circuit mass = 13.47 (Rowe 2011 11-device median ratio) x mu0H_max [T] x regenerator mass [kg]</t>
  </si>
  <si>
    <t xml:space="preserve">Bjork, Bahl &amp; Smith, Int. J. Refrig. 34 (2011); mass ratio: Rowe, Int. J. Refrig. 34 (2011), 11-device median (see Sources tab)</t>
  </si>
  <si>
    <t xml:space="preserve">La(Fe,Si)13Hy magnetocaloric material (tuned, Tc = 285.3 K)</t>
  </si>
  <si>
    <t xml:space="preserve">Active AMR regenerator bed material; mass = regenerator design variable</t>
  </si>
  <si>
    <t xml:space="preserve">Russek &amp; Zimm, Int. J. Refrig. 29 (2006) — literature unit cost for La(Fe,Si)13Hy family</t>
  </si>
  <si>
    <t xml:space="preserve">Soft-magnetic steel (1018) flux-return yoke</t>
  </si>
  <si>
    <t xml:space="preserve">Assumed 50% of magnet mass (mid-of-plausible-range placeholder for Halbach/C-core circuits; not a fitted value)</t>
  </si>
  <si>
    <t xml:space="preserve">Silva, Bahl et al., J. Magn. Magn. Mater. 442 (2017) 87-96</t>
  </si>
  <si>
    <t xml:space="preserve">NON-MATERIALS HARDWARE  (heat exchangers, pump, motor, drive, controls — market-catalog engineering estimate, NOT an AMR-specific vendor quote)</t>
  </si>
  <si>
    <t xml:space="preserve">Non-materials</t>
  </si>
  <si>
    <t xml:space="preserve">Heat exchangers (hot-side + cold-side, brazed-plate type)</t>
  </si>
  <si>
    <t xml:space="preserve">Sized to total HX duty = Qc x (2 + 1/COP_elec)</t>
  </si>
  <si>
    <t xml:space="preserve">kW duty</t>
  </si>
  <si>
    <t xml:space="preserve">ato.com brazed-plate HX catalog benchmark (~$9-26/kW normalized); Alfa Laval / Bell &amp; Gossett cross-check — see Sources tab</t>
  </si>
  <si>
    <t xml:space="preserve">Circulation pump (centrifugal)</t>
  </si>
  <si>
    <t xml:space="preserve">Sized to electrical input power = Qc / COP_elec</t>
  </si>
  <si>
    <t xml:space="preserve">kW elec</t>
  </si>
  <si>
    <t xml:space="preserve">Centrifugal pump cost-estimation rule of thumb ($100-500/HP); ato.com small centrifugal-pump catalog cross-check</t>
  </si>
  <si>
    <t xml:space="preserve">Drive motor</t>
  </si>
  <si>
    <t xml:space="preserve">Sized to electrical input power</t>
  </si>
  <si>
    <t xml:space="preserve">2026 motor cost-guide aggregator (avg $600, 1-5 HP); ato.com NEMA induction-motor catalog cross-check</t>
  </si>
  <si>
    <t xml:space="preserve">Variable-frequency drive / motor controller</t>
  </si>
  <si>
    <t xml:space="preserve">Thunder Said Energy "VFDs: the economics?" (avg $250/kW, 15 project case studies); retail VFD catalog cross-check</t>
  </si>
  <si>
    <t xml:space="preserve">Controls &amp; enclosure (PLC + NEMA-rated control cabinet)</t>
  </si>
  <si>
    <t xml:space="preserve">Fixed allowance — lab/pilot-scale controls do not scale linearly with cooling capacity</t>
  </si>
  <si>
    <t xml:space="preserve">lot</t>
  </si>
  <si>
    <t xml:space="preserve">industrialmonitordirect.com PLC pricing; e-abel.com enclosure buying guide; KDM Steel / used-equipment catalog data</t>
  </si>
  <si>
    <t xml:space="preserve">Note: MID materials cost reproduces this repo's own cost_index() (core/optimize.py) for this design point (~$3,417); LOW=MID=HIGH for materials because bom_cost() uses fixed literature $/kg figures, not a range. Non-materials LOW/MID/HIGH bands are this repo's bottom_up_non_materials_bom() market-catalog engineering estimate for generic component categories at this power class — explicitly NOT an AMR-specific vendor quote (custom manifolding, oscillating-flow seals, and a cycle-synchronized drive could cost more than an off-the-shelf steady-flow component of the same rating). See the 'Sources &amp; Assumptions' tab for full citations.</t>
  </si>
  <si>
    <t xml:space="preserve">Sources &amp; Assumptions</t>
  </si>
  <si>
    <t xml:space="preserve">Condensed from core/economics.py module docstrings (this repo's own cost model).</t>
  </si>
  <si>
    <t xml:space="preserve">Design point</t>
  </si>
  <si>
    <t xml:space="preserve">results/design_recommendations.txt, section 5 ("RECOMMENDED STARTING DESIGN POINT"), the NSGA-III knee-point design from core/optimize.py's joint field/frequency/flow/material/geometry Pareto search. A starting point, not a final specification.</t>
  </si>
  <si>
    <t xml:space="preserve">NdFeB magnet, $40/kg</t>
  </si>
  <si>
    <t xml:space="preserve">Bjork, Bahl &amp; Smith, "Determining the minimum mass and cost of a magnetic refrigerator", Int. J. Refrigeration 34 (2011) 1805-1816. Cross-checked by Tura &amp; Rowe (2014), $42/kg NdFeB (Gutfleisch et al. 2010).</t>
  </si>
  <si>
    <t xml:space="preserve">Magnet-to-MCM mass ratio, 13.47/T</t>
  </si>
  <si>
    <t xml:space="preserve">Rowe, Int. J. Refrig. 34 (2011) Table 1 median across 11 real reported AMR devices (range 3.98-22.65/T); replaces this repo's earlier 2-example Bjork et al. (2011) fit of 3.0/T, which sat at the low end of the real-device range (still reproducible via MAGNET_TO_MCM_MASS_RATIO_PER_TESLA_BJORK2011_LEGACY).</t>
  </si>
  <si>
    <t xml:space="preserve">Gd MCM, $20/kg</t>
  </si>
  <si>
    <t xml:space="preserve">Bjork et al. (2011); triangulated by Tura &amp; Rowe (2014), $10-20/kg bulk Gd. Not used at this design point (material = La(Fe,Si)13Hy) but is the fallback/proxy price for families with no independently sourced $/kg (see MCM_COST_PER_KG_BY_FAMILY).</t>
  </si>
  <si>
    <t xml:space="preserve">La(Fe,Si)13Hy MCM, $8/kg</t>
  </si>
  <si>
    <t xml:space="preserve">Russek &amp; Zimm, "Potential for cost effective magnetocaloric air conditioning systems", Int. J. Refrig. 29 (2006) 1366-1373.</t>
  </si>
  <si>
    <t xml:space="preserve">Soft-magnetic steel (SMM) yoke, $5/kg, 50% of magnet mass</t>
  </si>
  <si>
    <t xml:space="preserve">Silva, Bahl et al., "Permanent magnet design for magnetic heat pumps using total cost minimization", J. Magn. Magn. Mater. 442 (2017) 87-96 (1018 steel flux-return yoke, ~$5/kg). The 50% mass-fraction assumption is an explicitly flagged mid-of-plausible-range placeholder, not a fitted value — no single ratio is reported across this project's literature corpus for a general AMR design.</t>
  </si>
  <si>
    <t xml:space="preserve">Heat exchangers, $15-70/kW duty</t>
  </si>
  <si>
    <t xml:space="preserve">ato.com 250-plate brazed-plate HX catalog listing (rated 150-450 kW, ~$3,900, implying ~$9-26/kW); Alfa Laval / Bell &amp; Gossett smaller-duty units cross-checked for order of magnitude. HX duty sized via the exact energy balance: total duty = Qc + (Qc + W_elec) = Qc x (2 + 1/COP_electrical).</t>
  </si>
  <si>
    <t xml:space="preserve">Pump, $150-650/kW electrical</t>
  </si>
  <si>
    <t xml:space="preserve">Centrifugal pump cost-estimation industry reference (Zhilong, 2024), $100-500/HP ($134-670/kW) rule of thumb for small (1-10 HP) industrial units; cross-checked against ato.com's own small centrifugal-pump price list.</t>
  </si>
  <si>
    <t xml:space="preserve">Motor, $300-1000/kW electrical</t>
  </si>
  <si>
    <t xml:space="preserve">2026 motor-cost-guide aggregator, $250-2,000 (avg $600) for small (1-5 HP) industrial motors; cross-checked against ato.com NEMA induction-motor catalog and vendor listings for small TEFC motors.</t>
  </si>
  <si>
    <t xml:space="preserve">Drive/VFD, $100-400/kW electrical</t>
  </si>
  <si>
    <t xml:space="preserve">Thunder Said Energy, "Variable frequency drives: the economics?", average $250/kW from 15 real project case studies; cross-checked against retail VFD catalog pricing (ato.com, gohz.com).</t>
  </si>
  <si>
    <t xml:space="preserve">Controls &amp; enclosure, $300-2,000 fixed</t>
  </si>
  <si>
    <t xml:space="preserve">PLC pricing (industrialmonitordirect.com, 2026); control-panel-enclosure buying guide (e-abel.com); vendor catalog / used-equipment data (KDM Steel). Treated as a fixed allowance, not $/kW, since lab/pilot-scale control electronics do not scale linearly with cooling capacity.</t>
  </si>
  <si>
    <t xml:space="preserve">HONESTY FLAG (repo's own wording)</t>
  </si>
  <si>
    <t xml:space="preserve">"This is a market-catalog-based ENGINEERING ESTIMATE for generic component categories at roughly the right duty/power class, not a quote for an actual AMR-specific heat exchanger, pump, or drive (which would need custom manifolding, oscillating-flow-rated seals, a synchronized reciprocating or rotary drive mechanism matched to the AMR cycle frequency, etc., all of which could cost more than an off-the-shelf steady-flow component of the same power rating). It should be read and cited as such — a first bottom-up estimate that genuinely prices the missing hardware categories from real numbers, not as a substitute for an actual AMR-vendor quote or engineering BOM." (core/economics.py, bottom_up_non_materials_bom() section docstring)</t>
  </si>
  <si>
    <t xml:space="preserve">What this BOM excludes</t>
  </si>
  <si>
    <t xml:space="preserve">Manufacturing/assembly labor, transportation, maintenance, regulatory/certification costs, and the mechanical drive/actuation system that oscillates the field or bed relative to each other (beyond the motor/VFD line items above). See core/economics.py's lifetime_cost() and full_system_cost_estimate_bottom_up() docstrings.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</si>
</sst>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#,##0.00"/>
    <numFmt numFmtId="167" formatCode="#,##0.0000"/>
    <numFmt numFmtId="168" formatCode="\$#,##0.00"/>
    <numFmt numFmtId="169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1.11</v>
      </c>
      <c r="C5" s="4" t="s">
        <v>7</v>
      </c>
      <c r="D5" s="6" t="s">
        <v>8</v>
      </c>
    </row>
    <row r="6" customFormat="false" ht="15" hidden="false" customHeight="false" outlineLevel="0" collapsed="false">
      <c r="A6" s="4" t="s">
        <v>9</v>
      </c>
      <c r="B6" s="5" t="n">
        <v>2.592</v>
      </c>
      <c r="C6" s="4" t="s">
        <v>10</v>
      </c>
      <c r="D6" s="6" t="s">
        <v>11</v>
      </c>
    </row>
    <row r="7" customFormat="false" ht="15" hidden="false" customHeight="false" outlineLevel="0" collapsed="false">
      <c r="A7" s="4" t="s">
        <v>12</v>
      </c>
      <c r="B7" s="5" t="n">
        <v>0.4898</v>
      </c>
      <c r="C7" s="4" t="s">
        <v>13</v>
      </c>
      <c r="D7" s="6" t="s">
        <v>11</v>
      </c>
    </row>
    <row r="8" customFormat="false" ht="15" hidden="false" customHeight="false" outlineLevel="0" collapsed="false">
      <c r="A8" s="4" t="s">
        <v>14</v>
      </c>
      <c r="B8" s="5" t="n">
        <v>5.31</v>
      </c>
      <c r="C8" s="4" t="s">
        <v>15</v>
      </c>
      <c r="D8" s="6" t="s">
        <v>11</v>
      </c>
    </row>
    <row r="9" customFormat="false" ht="15" hidden="false" customHeight="false" outlineLevel="0" collapsed="false">
      <c r="A9" s="4" t="s">
        <v>16</v>
      </c>
      <c r="B9" s="5" t="n">
        <v>0.713</v>
      </c>
      <c r="C9" s="4" t="s">
        <v>17</v>
      </c>
      <c r="D9" s="6" t="s">
        <v>11</v>
      </c>
    </row>
    <row r="10" customFormat="false" ht="15" hidden="false" customHeight="false" outlineLevel="0" collapsed="false">
      <c r="A10" s="4" t="s">
        <v>18</v>
      </c>
      <c r="B10" s="5" t="n">
        <v>0.2719</v>
      </c>
      <c r="C10" s="4" t="s">
        <v>19</v>
      </c>
      <c r="D10" s="6" t="s">
        <v>20</v>
      </c>
    </row>
    <row r="11" customFormat="false" ht="15" hidden="false" customHeight="false" outlineLevel="0" collapsed="false">
      <c r="A11" s="4" t="s">
        <v>21</v>
      </c>
      <c r="B11" s="7" t="s">
        <v>22</v>
      </c>
      <c r="C11" s="4" t="s">
        <v>17</v>
      </c>
      <c r="D11" s="6" t="s">
        <v>23</v>
      </c>
    </row>
    <row r="12" customFormat="false" ht="15" hidden="false" customHeight="false" outlineLevel="0" collapsed="false">
      <c r="A12" s="4" t="s">
        <v>24</v>
      </c>
      <c r="B12" s="5" t="n">
        <v>9.57</v>
      </c>
      <c r="C12" s="4" t="s">
        <v>17</v>
      </c>
      <c r="D12" s="6" t="s">
        <v>25</v>
      </c>
    </row>
    <row r="13" customFormat="false" ht="15" hidden="false" customHeight="false" outlineLevel="0" collapsed="false">
      <c r="A13" s="4" t="s">
        <v>26</v>
      </c>
      <c r="B13" s="8" t="n">
        <v>35381.43</v>
      </c>
      <c r="C13" s="4" t="s">
        <v>27</v>
      </c>
      <c r="D13" s="6" t="s">
        <v>25</v>
      </c>
    </row>
    <row r="15" customFormat="false" ht="15" hidden="false" customHeight="false" outlineLevel="0" collapsed="false">
      <c r="A15" s="9" t="s">
        <v>28</v>
      </c>
      <c r="B15" s="9"/>
      <c r="C15" s="9"/>
      <c r="D15" s="9"/>
    </row>
    <row r="16" customFormat="false" ht="15" hidden="false" customHeight="false" outlineLevel="0" collapsed="false">
      <c r="A16" s="4" t="s">
        <v>29</v>
      </c>
      <c r="B16" s="10" t="n">
        <f aca="false">B13/1000</f>
        <v>35.38143</v>
      </c>
      <c r="C16" s="4" t="s">
        <v>30</v>
      </c>
      <c r="D16" s="6" t="s">
        <v>31</v>
      </c>
    </row>
    <row r="17" customFormat="false" ht="15" hidden="false" customHeight="false" outlineLevel="0" collapsed="false">
      <c r="A17" s="4" t="s">
        <v>32</v>
      </c>
      <c r="B17" s="11" t="n">
        <f aca="false">B16/B12</f>
        <v>3.69711912225705</v>
      </c>
      <c r="C17" s="4" t="s">
        <v>30</v>
      </c>
      <c r="D17" s="6" t="s">
        <v>33</v>
      </c>
    </row>
    <row r="18" customFormat="false" ht="15" hidden="false" customHeight="false" outlineLevel="0" collapsed="false">
      <c r="A18" s="4" t="s">
        <v>34</v>
      </c>
      <c r="B18" s="12" t="n">
        <f aca="false">2+1/B12</f>
        <v>2.10449320794148</v>
      </c>
      <c r="C18" s="4" t="s">
        <v>17</v>
      </c>
      <c r="D18" s="6" t="s">
        <v>35</v>
      </c>
    </row>
    <row r="19" customFormat="false" ht="15" hidden="false" customHeight="false" outlineLevel="0" collapsed="false">
      <c r="A19" s="4" t="s">
        <v>36</v>
      </c>
      <c r="B19" s="10" t="n">
        <f aca="false">B16*B18</f>
        <v>74.4599791222571</v>
      </c>
      <c r="C19" s="4" t="s">
        <v>30</v>
      </c>
      <c r="D19" s="6" t="s">
        <v>37</v>
      </c>
    </row>
  </sheetData>
  <mergeCells count="3">
    <mergeCell ref="A1:E1"/>
    <mergeCell ref="A2:E2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9" min="7" style="0" width="12"/>
    <col collapsed="false" customWidth="true" hidden="false" outlineLevel="0" max="12" min="10" style="0" width="13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13" t="s">
        <v>40</v>
      </c>
      <c r="B4" s="13" t="s">
        <v>41</v>
      </c>
      <c r="C4" s="13" t="s">
        <v>42</v>
      </c>
      <c r="D4" s="13" t="s">
        <v>43</v>
      </c>
      <c r="E4" s="13" t="s">
        <v>44</v>
      </c>
      <c r="F4" s="13" t="s">
        <v>4</v>
      </c>
      <c r="G4" s="13" t="s">
        <v>45</v>
      </c>
      <c r="H4" s="13" t="s">
        <v>46</v>
      </c>
      <c r="I4" s="13" t="s">
        <v>47</v>
      </c>
      <c r="J4" s="13" t="s">
        <v>48</v>
      </c>
      <c r="K4" s="13" t="s">
        <v>49</v>
      </c>
      <c r="L4" s="13" t="s">
        <v>50</v>
      </c>
      <c r="M4" s="13" t="s">
        <v>51</v>
      </c>
    </row>
    <row r="6" customFormat="false" ht="15" hidden="false" customHeight="false" outlineLevel="0" collapsed="false">
      <c r="A6" s="14"/>
      <c r="B6" s="9" t="s">
        <v>52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customFormat="false" ht="30" hidden="false" customHeight="true" outlineLevel="0" collapsed="false">
      <c r="A7" s="4" t="n">
        <v>1</v>
      </c>
      <c r="B7" s="4" t="s">
        <v>53</v>
      </c>
      <c r="C7" s="15" t="s">
        <v>54</v>
      </c>
      <c r="D7" s="16" t="s">
        <v>55</v>
      </c>
      <c r="E7" s="11" t="n">
        <f aca="false">'Design Point'!$B$5*'Design Point'!$B$8*13.47</f>
        <v>79.393527</v>
      </c>
      <c r="F7" s="4" t="s">
        <v>15</v>
      </c>
      <c r="G7" s="17" t="n">
        <v>40</v>
      </c>
      <c r="H7" s="17" t="n">
        <v>40</v>
      </c>
      <c r="I7" s="17" t="n">
        <v>40</v>
      </c>
      <c r="J7" s="18" t="n">
        <f aca="false">E7*G7</f>
        <v>3175.74108</v>
      </c>
      <c r="K7" s="18" t="n">
        <f aca="false">E7*H7</f>
        <v>3175.74108</v>
      </c>
      <c r="L7" s="18" t="n">
        <f aca="false">E7*I7</f>
        <v>3175.74108</v>
      </c>
      <c r="M7" s="16" t="s">
        <v>56</v>
      </c>
    </row>
    <row r="8" customFormat="false" ht="30" hidden="false" customHeight="true" outlineLevel="0" collapsed="false">
      <c r="A8" s="4" t="n">
        <v>2</v>
      </c>
      <c r="B8" s="4" t="s">
        <v>53</v>
      </c>
      <c r="C8" s="15" t="s">
        <v>57</v>
      </c>
      <c r="D8" s="16" t="s">
        <v>58</v>
      </c>
      <c r="E8" s="11" t="n">
        <f aca="false">'Design Point'!$B$8</f>
        <v>5.31</v>
      </c>
      <c r="F8" s="4" t="s">
        <v>15</v>
      </c>
      <c r="G8" s="17" t="n">
        <v>8</v>
      </c>
      <c r="H8" s="17" t="n">
        <v>8</v>
      </c>
      <c r="I8" s="17" t="n">
        <v>8</v>
      </c>
      <c r="J8" s="18" t="n">
        <f aca="false">E8*G8</f>
        <v>42.48</v>
      </c>
      <c r="K8" s="18" t="n">
        <f aca="false">E8*H8</f>
        <v>42.48</v>
      </c>
      <c r="L8" s="18" t="n">
        <f aca="false">E8*I8</f>
        <v>42.48</v>
      </c>
      <c r="M8" s="16" t="s">
        <v>59</v>
      </c>
    </row>
    <row r="9" customFormat="false" ht="30" hidden="false" customHeight="true" outlineLevel="0" collapsed="false">
      <c r="A9" s="4" t="n">
        <v>3</v>
      </c>
      <c r="B9" s="4" t="s">
        <v>53</v>
      </c>
      <c r="C9" s="15" t="s">
        <v>60</v>
      </c>
      <c r="D9" s="16" t="s">
        <v>61</v>
      </c>
      <c r="E9" s="11" t="n">
        <f aca="false">E7*0.5</f>
        <v>39.6967635</v>
      </c>
      <c r="F9" s="4" t="s">
        <v>15</v>
      </c>
      <c r="G9" s="17" t="n">
        <v>5</v>
      </c>
      <c r="H9" s="17" t="n">
        <v>5</v>
      </c>
      <c r="I9" s="17" t="n">
        <v>5</v>
      </c>
      <c r="J9" s="18" t="n">
        <f aca="false">E9*G9</f>
        <v>198.4838175</v>
      </c>
      <c r="K9" s="18" t="n">
        <f aca="false">E9*H9</f>
        <v>198.4838175</v>
      </c>
      <c r="L9" s="18" t="n">
        <f aca="false">E9*I9</f>
        <v>198.4838175</v>
      </c>
      <c r="M9" s="16" t="s">
        <v>62</v>
      </c>
    </row>
    <row r="10" customFormat="false" ht="15" hidden="false" customHeight="false" outlineLevel="0" collapsed="false">
      <c r="A10" s="19"/>
      <c r="B10" s="19"/>
      <c r="C10" s="19"/>
      <c r="D10" s="19"/>
      <c r="E10" s="19"/>
      <c r="F10" s="19"/>
      <c r="G10" s="19"/>
      <c r="H10" s="19"/>
      <c r="I10" s="19"/>
      <c r="J10" s="20" t="n">
        <f aca="false">SUM(J7:J9)</f>
        <v>3416.7048975</v>
      </c>
      <c r="K10" s="20" t="n">
        <f aca="false">SUM(K7:K9)</f>
        <v>3416.7048975</v>
      </c>
      <c r="L10" s="20" t="n">
        <f aca="false">SUM(L7:L9)</f>
        <v>3416.7048975</v>
      </c>
      <c r="M10" s="19"/>
    </row>
    <row r="12" customFormat="false" ht="15" hidden="false" customHeight="false" outlineLevel="0" collapsed="false">
      <c r="A12" s="14"/>
      <c r="B12" s="9" t="s">
        <v>63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customFormat="false" ht="30" hidden="false" customHeight="true" outlineLevel="0" collapsed="false">
      <c r="A13" s="4" t="n">
        <v>4</v>
      </c>
      <c r="B13" s="4" t="s">
        <v>64</v>
      </c>
      <c r="C13" s="15" t="s">
        <v>65</v>
      </c>
      <c r="D13" s="16" t="s">
        <v>66</v>
      </c>
      <c r="E13" s="11" t="n">
        <f aca="false">'Design Point'!$B$19</f>
        <v>74.4599791222571</v>
      </c>
      <c r="F13" s="4" t="s">
        <v>67</v>
      </c>
      <c r="G13" s="17" t="n">
        <v>15</v>
      </c>
      <c r="H13" s="17" t="n">
        <v>30</v>
      </c>
      <c r="I13" s="17" t="n">
        <v>70</v>
      </c>
      <c r="J13" s="18" t="n">
        <f aca="false">E13*G13</f>
        <v>1116.89968683386</v>
      </c>
      <c r="K13" s="18" t="n">
        <f aca="false">E13*H13</f>
        <v>2233.79937366771</v>
      </c>
      <c r="L13" s="18" t="n">
        <f aca="false">E13*I13</f>
        <v>5212.19853855799</v>
      </c>
      <c r="M13" s="16" t="s">
        <v>68</v>
      </c>
    </row>
    <row r="14" customFormat="false" ht="30" hidden="false" customHeight="true" outlineLevel="0" collapsed="false">
      <c r="A14" s="4" t="n">
        <v>5</v>
      </c>
      <c r="B14" s="4" t="s">
        <v>64</v>
      </c>
      <c r="C14" s="15" t="s">
        <v>69</v>
      </c>
      <c r="D14" s="16" t="s">
        <v>70</v>
      </c>
      <c r="E14" s="11" t="n">
        <f aca="false">'Design Point'!$B$17</f>
        <v>3.69711912225705</v>
      </c>
      <c r="F14" s="4" t="s">
        <v>71</v>
      </c>
      <c r="G14" s="17" t="n">
        <v>150</v>
      </c>
      <c r="H14" s="17" t="n">
        <v>300</v>
      </c>
      <c r="I14" s="17" t="n">
        <v>650</v>
      </c>
      <c r="J14" s="18" t="n">
        <f aca="false">E14*G14</f>
        <v>554.567868338558</v>
      </c>
      <c r="K14" s="18" t="n">
        <f aca="false">E14*H14</f>
        <v>1109.13573667712</v>
      </c>
      <c r="L14" s="18" t="n">
        <f aca="false">E14*I14</f>
        <v>2403.12742946708</v>
      </c>
      <c r="M14" s="16" t="s">
        <v>72</v>
      </c>
    </row>
    <row r="15" customFormat="false" ht="30" hidden="false" customHeight="true" outlineLevel="0" collapsed="false">
      <c r="A15" s="4" t="n">
        <v>6</v>
      </c>
      <c r="B15" s="4" t="s">
        <v>64</v>
      </c>
      <c r="C15" s="15" t="s">
        <v>73</v>
      </c>
      <c r="D15" s="16" t="s">
        <v>74</v>
      </c>
      <c r="E15" s="11" t="n">
        <f aca="false">'Design Point'!$B$17</f>
        <v>3.69711912225705</v>
      </c>
      <c r="F15" s="4" t="s">
        <v>71</v>
      </c>
      <c r="G15" s="17" t="n">
        <v>300</v>
      </c>
      <c r="H15" s="17" t="n">
        <v>600</v>
      </c>
      <c r="I15" s="17" t="n">
        <v>1000</v>
      </c>
      <c r="J15" s="18" t="n">
        <f aca="false">E15*G15</f>
        <v>1109.13573667712</v>
      </c>
      <c r="K15" s="18" t="n">
        <f aca="false">E15*H15</f>
        <v>2218.27147335423</v>
      </c>
      <c r="L15" s="18" t="n">
        <f aca="false">E15*I15</f>
        <v>3697.11912225705</v>
      </c>
      <c r="M15" s="16" t="s">
        <v>75</v>
      </c>
    </row>
    <row r="16" customFormat="false" ht="30" hidden="false" customHeight="true" outlineLevel="0" collapsed="false">
      <c r="A16" s="4" t="n">
        <v>7</v>
      </c>
      <c r="B16" s="4" t="s">
        <v>64</v>
      </c>
      <c r="C16" s="15" t="s">
        <v>76</v>
      </c>
      <c r="D16" s="16" t="s">
        <v>74</v>
      </c>
      <c r="E16" s="11" t="n">
        <f aca="false">'Design Point'!$B$17</f>
        <v>3.69711912225705</v>
      </c>
      <c r="F16" s="4" t="s">
        <v>71</v>
      </c>
      <c r="G16" s="17" t="n">
        <v>100</v>
      </c>
      <c r="H16" s="17" t="n">
        <v>250</v>
      </c>
      <c r="I16" s="17" t="n">
        <v>400</v>
      </c>
      <c r="J16" s="18" t="n">
        <f aca="false">E16*G16</f>
        <v>369.711912225705</v>
      </c>
      <c r="K16" s="18" t="n">
        <f aca="false">E16*H16</f>
        <v>924.279780564263</v>
      </c>
      <c r="L16" s="18" t="n">
        <f aca="false">E16*I16</f>
        <v>1478.84764890282</v>
      </c>
      <c r="M16" s="16" t="s">
        <v>77</v>
      </c>
    </row>
    <row r="17" customFormat="false" ht="30" hidden="false" customHeight="true" outlineLevel="0" collapsed="false">
      <c r="A17" s="4" t="n">
        <v>8</v>
      </c>
      <c r="B17" s="4" t="s">
        <v>64</v>
      </c>
      <c r="C17" s="15" t="s">
        <v>78</v>
      </c>
      <c r="D17" s="16" t="s">
        <v>79</v>
      </c>
      <c r="E17" s="21" t="n">
        <v>1</v>
      </c>
      <c r="F17" s="4" t="s">
        <v>80</v>
      </c>
      <c r="G17" s="17" t="n">
        <v>300</v>
      </c>
      <c r="H17" s="17" t="n">
        <v>800</v>
      </c>
      <c r="I17" s="17" t="n">
        <v>2000</v>
      </c>
      <c r="J17" s="18" t="n">
        <f aca="false">E17*G17</f>
        <v>300</v>
      </c>
      <c r="K17" s="18" t="n">
        <f aca="false">E17*H17</f>
        <v>800</v>
      </c>
      <c r="L17" s="18" t="n">
        <f aca="false">E17*I17</f>
        <v>2000</v>
      </c>
      <c r="M17" s="16" t="s">
        <v>81</v>
      </c>
    </row>
    <row r="18" customFormat="false" ht="15" hidden="false" customHeight="false" outlineLevel="0" collapsed="false">
      <c r="A18" s="19"/>
      <c r="B18" s="19"/>
      <c r="C18" s="19"/>
      <c r="D18" s="19"/>
      <c r="E18" s="19"/>
      <c r="F18" s="19"/>
      <c r="G18" s="19"/>
      <c r="H18" s="19"/>
      <c r="I18" s="19"/>
      <c r="J18" s="20" t="n">
        <f aca="false">SUM(J13:J17)</f>
        <v>3450.31520407524</v>
      </c>
      <c r="K18" s="20" t="n">
        <f aca="false">SUM(K13:K17)</f>
        <v>7285.48636426332</v>
      </c>
      <c r="L18" s="20" t="n">
        <f aca="false">SUM(L13:L17)</f>
        <v>14791.292739185</v>
      </c>
      <c r="M18" s="19"/>
    </row>
    <row r="20" customFormat="false" ht="15" hidden="false" customHeight="fals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3" t="n">
        <f aca="false">J10+J18</f>
        <v>6867.02010157524</v>
      </c>
      <c r="K20" s="23" t="n">
        <f aca="false">K10+K18</f>
        <v>10702.1912617633</v>
      </c>
      <c r="L20" s="23" t="n">
        <f aca="false">L10+L18</f>
        <v>18207.997636685</v>
      </c>
      <c r="M20" s="22"/>
    </row>
    <row r="22" customFormat="false" ht="60" hidden="false" customHeight="true" outlineLevel="0" collapsed="false">
      <c r="A22" s="24" t="s">
        <v>82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</sheetData>
  <mergeCells count="8">
    <mergeCell ref="A1:M1"/>
    <mergeCell ref="A2:M2"/>
    <mergeCell ref="B6:M6"/>
    <mergeCell ref="B10:F10"/>
    <mergeCell ref="B12:M12"/>
    <mergeCell ref="B18:F18"/>
    <mergeCell ref="B20:F20"/>
    <mergeCell ref="A22:M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83</v>
      </c>
      <c r="B1" s="1"/>
    </row>
    <row r="2" customFormat="false" ht="15" hidden="false" customHeight="false" outlineLevel="0" collapsed="false">
      <c r="A2" s="2" t="s">
        <v>84</v>
      </c>
      <c r="B2" s="2"/>
    </row>
    <row r="4" customFormat="false" ht="45" hidden="false" customHeight="true" outlineLevel="0" collapsed="false">
      <c r="A4" s="25" t="s">
        <v>85</v>
      </c>
      <c r="B4" s="26" t="s">
        <v>86</v>
      </c>
    </row>
    <row r="5" customFormat="false" ht="45" hidden="false" customHeight="true" outlineLevel="0" collapsed="false">
      <c r="A5" s="25" t="s">
        <v>87</v>
      </c>
      <c r="B5" s="26" t="s">
        <v>88</v>
      </c>
    </row>
    <row r="6" customFormat="false" ht="60" hidden="false" customHeight="true" outlineLevel="0" collapsed="false">
      <c r="A6" s="25" t="s">
        <v>89</v>
      </c>
      <c r="B6" s="26" t="s">
        <v>90</v>
      </c>
    </row>
    <row r="7" customFormat="false" ht="45" hidden="false" customHeight="true" outlineLevel="0" collapsed="false">
      <c r="A7" s="25" t="s">
        <v>91</v>
      </c>
      <c r="B7" s="26" t="s">
        <v>92</v>
      </c>
    </row>
    <row r="8" customFormat="false" ht="30" hidden="false" customHeight="true" outlineLevel="0" collapsed="false">
      <c r="A8" s="25" t="s">
        <v>93</v>
      </c>
      <c r="B8" s="26" t="s">
        <v>94</v>
      </c>
    </row>
    <row r="9" customFormat="false" ht="75" hidden="false" customHeight="true" outlineLevel="0" collapsed="false">
      <c r="A9" s="25" t="s">
        <v>95</v>
      </c>
      <c r="B9" s="26" t="s">
        <v>96</v>
      </c>
    </row>
    <row r="10" customFormat="false" ht="60" hidden="false" customHeight="true" outlineLevel="0" collapsed="false">
      <c r="A10" s="25" t="s">
        <v>97</v>
      </c>
      <c r="B10" s="26" t="s">
        <v>98</v>
      </c>
    </row>
    <row r="11" customFormat="false" ht="45" hidden="false" customHeight="true" outlineLevel="0" collapsed="false">
      <c r="A11" s="25" t="s">
        <v>99</v>
      </c>
      <c r="B11" s="26" t="s">
        <v>100</v>
      </c>
    </row>
    <row r="12" customFormat="false" ht="45" hidden="false" customHeight="true" outlineLevel="0" collapsed="false">
      <c r="A12" s="25" t="s">
        <v>101</v>
      </c>
      <c r="B12" s="26" t="s">
        <v>102</v>
      </c>
    </row>
    <row r="13" customFormat="false" ht="30" hidden="false" customHeight="true" outlineLevel="0" collapsed="false">
      <c r="A13" s="25" t="s">
        <v>103</v>
      </c>
      <c r="B13" s="26" t="s">
        <v>104</v>
      </c>
    </row>
    <row r="14" customFormat="false" ht="45" hidden="false" customHeight="true" outlineLevel="0" collapsed="false">
      <c r="A14" s="25" t="s">
        <v>105</v>
      </c>
      <c r="B14" s="26" t="s">
        <v>106</v>
      </c>
    </row>
    <row r="15" customFormat="false" ht="120" hidden="false" customHeight="true" outlineLevel="0" collapsed="false">
      <c r="A15" s="25" t="s">
        <v>107</v>
      </c>
      <c r="B15" s="26" t="s">
        <v>108</v>
      </c>
    </row>
    <row r="16" customFormat="false" ht="60" hidden="false" customHeight="true" outlineLevel="0" collapsed="false">
      <c r="A16" s="25" t="s">
        <v>109</v>
      </c>
      <c r="B16" s="26" t="s">
        <v>110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2026-09-09T12:37:33Z</dcterms:created>
  <dc:creator>openpyxl</dc:creator>
  <dc:description/>
  <dc:language>en-US</dc:language>
  <cp:lastModifiedBy/>
  <dcterms:modified xsi:type="dcterms:W3CDTF">2026-09-09T12:37:33Z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